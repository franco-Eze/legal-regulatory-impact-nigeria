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<sst xmlns="http://schemas.openxmlformats.org/spreadsheetml/2006/main" count="10" uniqueCount="10">
  <si>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YEAR</t>
  </si>
  <si>
    <t>EQUITIES MARKET CAPITALISATION (N'Tn)</t>
  </si>
  <si>
    <t>FOREIGN INVESTOR PARTICIPATION %</t>
  </si>
  <si>
    <t>MAJOR LEGAL/REGULATORY EVENT</t>
  </si>
  <si>
    <t>MARKET CAP GROWTH %</t>
  </si>
  <si>
    <t>COVID-19 MARKET INTERVENTION</t>
  </si>
  <si>
    <t>SEC RULES ON DIGITAL ASSETS</t>
  </si>
  <si>
    <t>NEW NGX LISTING RULES</t>
  </si>
  <si>
    <t>SEC CRYPTO REGULATION</t>
  </si>
  <si>
    <t>CAPITAL MARKET REFORM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</si>
</sst>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F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EQUITIES MARKET CAPITALISATION TREND (2020-2024)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</c:ser>
        <c:axId val="1363040510"/>
        <c:axId val="1371759295"/>
      </c:barChart>
      <c:catAx>
        <c:axId val="1363040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1759295"/>
      </c:catAx>
      <c:valAx>
        <c:axId val="1371759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EQUITIES MARKET CAPITALISATION (N'Tn)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040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FOREIGN INVESTOR PARTICIPATION %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  <c:smooth val="1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  <c:smooth val="1"/>
        </c:ser>
        <c:axId val="1066278142"/>
        <c:axId val="1686367311"/>
      </c:lineChart>
      <c:catAx>
        <c:axId val="1066278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367311"/>
      </c:catAx>
      <c:valAx>
        <c:axId val="1686367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278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981075</xdr:colOff>
      <xdr:row>15</xdr:row>
      <xdr:rowOff>190500</xdr:rowOff>
    </xdr:from>
    <xdr:ext cx="6096000" cy="3438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152400</xdr:colOff>
      <xdr:row>11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3" max="3" width="32.38"/>
    <col customWidth="1" min="4" max="4" width="30.75"/>
    <col customWidth="1" min="5" max="5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>
        <v>2020.0</v>
      </c>
      <c r="B2" s="4">
        <v>21.06</v>
      </c>
      <c r="C2" s="5">
        <v>0.3363</v>
      </c>
      <c r="D2" s="3" t="s">
        <v>5</v>
      </c>
    </row>
    <row r="3">
      <c r="A3" s="3">
        <v>2021.0</v>
      </c>
      <c r="B3" s="3">
        <v>22.29</v>
      </c>
      <c r="C3" s="5">
        <v>0.23</v>
      </c>
      <c r="D3" s="3" t="s">
        <v>6</v>
      </c>
      <c r="E3" s="6">
        <f t="shared" ref="E3:E6" si="1">(B3-B2)/B2</f>
        <v>0.0584045584</v>
      </c>
    </row>
    <row r="4">
      <c r="A4" s="3">
        <v>2022.0</v>
      </c>
      <c r="B4" s="3">
        <v>27.92</v>
      </c>
      <c r="C4" s="5">
        <v>0.17</v>
      </c>
      <c r="D4" s="3" t="s">
        <v>7</v>
      </c>
      <c r="E4" s="6">
        <f t="shared" si="1"/>
        <v>0.2525796321</v>
      </c>
    </row>
    <row r="5">
      <c r="A5" s="3">
        <v>2023.0</v>
      </c>
      <c r="B5" s="4">
        <v>39.66</v>
      </c>
      <c r="C5" s="7">
        <v>0.1149</v>
      </c>
      <c r="D5" s="3" t="s">
        <v>8</v>
      </c>
      <c r="E5" s="6">
        <f t="shared" si="1"/>
        <v>0.420487106</v>
      </c>
    </row>
    <row r="6">
      <c r="A6" s="3">
        <v>2024.0</v>
      </c>
      <c r="B6" s="4">
        <v>62.77</v>
      </c>
      <c r="C6" s="7">
        <v>0.1525</v>
      </c>
      <c r="D6" s="3" t="s">
        <v>9</v>
      </c>
      <c r="E6" s="6">
        <f t="shared" si="1"/>
        <v>0.5827029753</v>
      </c>
    </row>
  </sheetData>
  <drawing r:id="rId1"/>
</worksheet>
</file>